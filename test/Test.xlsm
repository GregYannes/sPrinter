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Printer/test/"/>
    </mc:Choice>
  </mc:AlternateContent>
  <xr:revisionPtr revIDLastSave="0" documentId="13_ncr:1_{59A52062-34A3-FB4B-AA0A-9806951319D6}" xr6:coauthVersionLast="47" xr6:coauthVersionMax="47" xr10:uidLastSave="{00000000-0000-0000-0000-000000000000}"/>
  <bookViews>
    <workbookView xWindow="0" yWindow="500" windowWidth="28420" windowHeight="16940" xr2:uid="{E8057771-E359-4B42-8FA4-077876297B0F}"/>
  </bookViews>
  <sheets>
    <sheet name="Message" sheetId="2" r:id="rId1"/>
    <sheet name="Settings" sheetId="1" state="hidden" r:id="rId2"/>
  </sheets>
  <functionGroups builtInGroupCount="19"/>
  <definedNames>
    <definedName name="DEFAULT_VALUE" localSheetId="0">"?"</definedName>
    <definedName name="Input_Names" localSheetId="0">Input[Name]</definedName>
    <definedName name="Input_Values" localSheetId="0">Input[Value]</definedName>
    <definedName name="Mode_Labels">Modes[Label]</definedName>
    <definedName name="Mode_Values">Modes[Value]</definedName>
    <definedName name="Position_Labels">Positions[Label]</definedName>
    <definedName name="Position_Values">Positions[Value]</definedName>
    <definedName name="Week_Labels">Weeks[Label]</definedName>
    <definedName name="Week_Values">Weeks[Value]</definedName>
    <definedName name="Weekday_Labels">Weekdays[Label]</definedName>
    <definedName name="Weekday_Values">Weekdays[Value]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" l="1"/>
  <c r="J5" i="2"/>
  <c r="L5" i="2"/>
  <c r="N5" i="2"/>
  <c r="P5" i="2"/>
  <c r="H3" i="2"/>
  <c r="H4" i="2"/>
  <c r="H6" i="2"/>
  <c r="C6" i="2"/>
  <c r="A6" i="2" a="1"/>
  <c r="A6" i="2" s="1"/>
  <c r="P6" i="2"/>
  <c r="N6" i="2"/>
  <c r="L6" i="2"/>
  <c r="J6" i="2"/>
  <c r="C5" i="2"/>
  <c r="A5" i="2" a="1"/>
  <c r="A5" i="2" s="1"/>
  <c r="P4" i="2"/>
  <c r="N4" i="2"/>
  <c r="L4" i="2"/>
  <c r="J4" i="2"/>
  <c r="A4" i="2" a="1"/>
  <c r="A4" i="2" s="1"/>
  <c r="P3" i="2"/>
  <c r="N3" i="2"/>
  <c r="L3" i="2"/>
  <c r="J3" i="2"/>
  <c r="A3" i="2" a="1"/>
  <c r="A3" i="2" s="1"/>
  <c r="F6" i="2" a="1"/>
  <c r="F3" i="2" a="1"/>
  <c r="F5" i="2" a="1"/>
  <c r="F4" i="2" a="1"/>
  <c r="F5" i="2" l="1"/>
  <c r="F3" i="2"/>
  <c r="F4" i="2"/>
  <c r="F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<sst xmlns="http://schemas.openxmlformats.org/spreadsheetml/2006/main" count="62" uniqueCount="53">
  <si>
    <t>Name</t>
  </si>
  <si>
    <t>Value</t>
  </si>
  <si>
    <t>Forename</t>
  </si>
  <si>
    <t>Input</t>
  </si>
  <si>
    <t>Surname</t>
  </si>
  <si>
    <t>Time</t>
  </si>
  <si>
    <t>Date</t>
  </si>
  <si>
    <t>John</t>
  </si>
  <si>
    <t>Doe</t>
  </si>
  <si>
    <t>Output</t>
  </si>
  <si>
    <t>Message</t>
  </si>
  <si>
    <t>Format</t>
  </si>
  <si>
    <t>You have a meeting with {{forename}} {{surname}} at {{time}:h:MM AM/PM} on {{date}:dddd, mmmm d}.</t>
  </si>
  <si>
    <t>Position</t>
  </si>
  <si>
    <t>Label</t>
  </si>
  <si>
    <t>Positions</t>
  </si>
  <si>
    <t>Absolute</t>
  </si>
  <si>
    <t>Relative</t>
  </si>
  <si>
    <t>Position Code</t>
  </si>
  <si>
    <t>VBA</t>
  </si>
  <si>
    <t>Excel</t>
  </si>
  <si>
    <t>Mode</t>
  </si>
  <si>
    <t>Mode Code</t>
  </si>
  <si>
    <t>Modes</t>
  </si>
  <si>
    <t>Default</t>
  </si>
  <si>
    <t>You have a meeting with {1} {2} at {-2:h:MM AM/PM} on {-1:dddd, mmmm d}.</t>
  </si>
  <si>
    <t>First Day of Week</t>
  </si>
  <si>
    <t>FWoY Code</t>
  </si>
  <si>
    <t>FDoW Code</t>
  </si>
  <si>
    <t>First Week of Year</t>
  </si>
  <si>
    <t>Escape</t>
  </si>
  <si>
    <t>Open Field</t>
  </si>
  <si>
    <t>Close Field</t>
  </si>
  <si>
    <t>Open Quote</t>
  </si>
  <si>
    <t>Close Quote</t>
  </si>
  <si>
    <t>Separator</t>
  </si>
  <si>
    <t>You have a meeting with {1} {2} at {3:h:MM AM/PM} on {4:dddd, mmmm d}.</t>
  </si>
  <si>
    <t>Weekdays</t>
  </si>
  <si>
    <t>Weeks</t>
  </si>
  <si>
    <t>System</t>
  </si>
  <si>
    <t>Monday</t>
  </si>
  <si>
    <t>Tuesday</t>
  </si>
  <si>
    <t>Wednesday</t>
  </si>
  <si>
    <t>Thursday</t>
  </si>
  <si>
    <t>Friday</t>
  </si>
  <si>
    <t>Saturday</t>
  </si>
  <si>
    <t>Sunday</t>
  </si>
  <si>
    <t>UseSystem</t>
  </si>
  <si>
    <t>FirstJan1</t>
  </si>
  <si>
    <t>FirstFourDays</t>
  </si>
  <si>
    <t>FirstFullWeek</t>
  </si>
  <si>
    <t>Order</t>
  </si>
  <si>
    <t>You have a meeting with {} {} at {:h:MM AM/PM} on {:dddd, mmmm d}.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</si>
</sst>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rgb="FFC0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3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0" borderId="0" xfId="0" applyFont="1"/>
    <xf numFmtId="49" fontId="2" fillId="0" borderId="0" xfId="0" applyNumberFormat="1" applyFont="1"/>
    <xf numFmtId="164" fontId="2" fillId="0" borderId="0" xfId="0" applyNumberFormat="1" applyFont="1"/>
    <xf numFmtId="14" fontId="2" fillId="0" borderId="0" xfId="0" applyNumberFormat="1" applyFont="1"/>
    <xf numFmtId="3" fontId="4" fillId="0" borderId="0" xfId="0" applyNumberFormat="1" applyFont="1"/>
    <xf numFmtId="3" fontId="2" fillId="0" borderId="0" xfId="0" applyNumberFormat="1" applyFont="1"/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</cellXfs>
  <cellStyles count="1">
    <cellStyle name="Normal" xfId="0" builtinId="0"/>
  </cellStyles>
  <dxfs count="32"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none"/>
      </font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C3F428-F1E7-2942-8A1C-B00B88191E17}" name="Input" displayName="Input" ref="A2:C6" totalsRowShown="0" headerRowDxfId="31" dataDxfId="30">
  <autoFilter ref="A2:C6" xr:uid="{39409A5F-E567-B741-94A5-F541891956DE}"/>
  <tableColumns count="3">
    <tableColumn id="3" xr3:uid="{E3176BD6-8F6D-5945-9FCF-B53B582229EF}" name="Position" dataDxfId="29">
      <calculatedColumnFormula array="1" xml:space="preserve"> ROW() - ROW(Input[#Headers])</calculatedColumnFormula>
    </tableColumn>
    <tableColumn id="1" xr3:uid="{5FFA4FB5-1EFE-AD4F-8C41-7A70667082AE}" name="Name" dataDxfId="28"/>
    <tableColumn id="2" xr3:uid="{C5403FED-B3F4-A244-92CD-9FFCA43C65E5}" name="Value" dataDxfId="2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9D90CE-7BF7-E844-AE08-33847F488730}" name="Output" displayName="Output" ref="E2:V6" totalsRowShown="0" dataDxfId="26">
  <autoFilter ref="E2:V6" xr:uid="{17F0DC84-41FD-F04D-A564-5FC5C3FB9DC8}"/>
  <sortState xmlns:xlrd2="http://schemas.microsoft.com/office/spreadsheetml/2017/richdata2" ref="E3:V6">
    <sortCondition ref="E2:E6"/>
  </sortState>
  <tableColumns count="18">
    <tableColumn id="1" xr3:uid="{801D9488-7EAF-024E-995C-BA705D52CAF8}" name="Order" dataDxfId="25"/>
    <tableColumn id="18" xr3:uid="{D60040A6-1A75-D44A-A72F-3C1AABCDFDAE}" name="Message" dataDxfId="24">
      <calculatedColumnFormula array="1" xml:space="preserve"> sPrinter.Message(Output[[#This Row],[Format]], Input_Values, Output[[#This Row],[Default]], Output[[#This Row],[Position Code]], Output[[#This Row],[Mode Code]])</calculatedColumnFormula>
    </tableColumn>
    <tableColumn id="8" xr3:uid="{FF5442BB-C120-4A4D-AEE1-9FD321C56FB4}" name="Format" dataDxfId="23"/>
    <tableColumn id="7" xr3:uid="{7D10BF63-D43A-1D41-B52A-3C66F5E2BBB3}" name="Default" dataDxfId="22">
      <calculatedColumnFormula xml:space="preserve"> DEFAULT_VALUE</calculatedColumnFormula>
    </tableColumn>
    <tableColumn id="3" xr3:uid="{56A9AE6C-10D5-3640-B2F2-0F317683FF99}" name="Position" dataDxfId="21"/>
    <tableColumn id="4" xr3:uid="{28E49B4E-BC5F-F54C-B340-A16FD3C80246}" name="Position Code" dataDxfId="20">
      <calculatedColumnFormula xml:space="preserve"> _xlfn.XLOOKUP(Output[[#This Row],[Position]], Position_Labels, Position_Values)</calculatedColumnFormula>
    </tableColumn>
    <tableColumn id="5" xr3:uid="{4F01C3C6-A441-BE41-9630-431C7DEE6B43}" name="Mode" dataDxfId="19"/>
    <tableColumn id="6" xr3:uid="{6E992072-E209-3648-889C-0F309EB9EDFF}" name="Mode Code" dataDxfId="18">
      <calculatedColumnFormula xml:space="preserve"> _xlfn.XLOOKUP(Output[[#This Row],[Mode]], Mode_Labels, Mode_Values)</calculatedColumnFormula>
    </tableColumn>
    <tableColumn id="2" xr3:uid="{CAED5840-D70D-F64D-9825-1B378FCA3629}" name="First Day of Week" dataDxfId="17"/>
    <tableColumn id="11" xr3:uid="{509FC909-348E-0442-A3E1-7D4F4CAE1E18}" name="FDoW Code" dataDxfId="16">
      <calculatedColumnFormula xml:space="preserve"> _xlfn.XLOOKUP(Output[[#This Row],[First Day of Week]], Weekday_Labels, Weekday_Values)</calculatedColumnFormula>
    </tableColumn>
    <tableColumn id="10" xr3:uid="{4D3BDE06-76CD-C54D-BD32-1092223A33FB}" name="First Week of Year" dataDxfId="15"/>
    <tableColumn id="9" xr3:uid="{81E3FDDE-C0E4-1F4D-B7ED-35265914C0CB}" name="FWoY Code" dataDxfId="14">
      <calculatedColumnFormula xml:space="preserve"> _xlfn.XLOOKUP(Output[[#This Row],[First Week of Year]], Week_Labels, Week_Values)</calculatedColumnFormula>
    </tableColumn>
    <tableColumn id="12" xr3:uid="{4255C349-B45B-AF44-8D74-D389154A3E89}" name="Escape" dataDxfId="13"/>
    <tableColumn id="16" xr3:uid="{2B6BF0E1-CAEA-8D41-AFC1-1613AA8564F0}" name="Open Field" dataDxfId="12"/>
    <tableColumn id="17" xr3:uid="{7BD222AA-8FA1-3D47-8765-B973CCBDD77C}" name="Close Field" dataDxfId="11"/>
    <tableColumn id="14" xr3:uid="{20B6DC79-69E2-764E-8A81-E99337A80CB7}" name="Open Quote" dataDxfId="10"/>
    <tableColumn id="15" xr3:uid="{59AEDAB0-5D3E-1D42-B636-70D8D51B662D}" name="Close Quote" dataDxfId="9"/>
    <tableColumn id="13" xr3:uid="{9756E32C-3398-4846-B0D4-3C09D7789C6E}" name="Separator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F66E05-FEE6-9B4F-9826-5C4EF2A1D554}" name="Positions" displayName="Positions" ref="A2:B5" totalsRowShown="0" headerRowDxfId="7">
  <autoFilter ref="A2:B5" xr:uid="{2DF66E05-FEE6-9B4F-9826-5C4EF2A1D554}"/>
  <sortState xmlns:xlrd2="http://schemas.microsoft.com/office/spreadsheetml/2017/richdata2" ref="A3:B5">
    <sortCondition ref="B2:B5"/>
  </sortState>
  <tableColumns count="2">
    <tableColumn id="1" xr3:uid="{F1D21771-CEB5-7C46-AB22-FBE5B06681BC}" name="Label"/>
    <tableColumn id="2" xr3:uid="{732390B6-6139-9643-916B-19343055E8F5}" name="Value" dataDxfId="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42CABE-1A67-634C-9978-063FCAC23ED8}" name="Modes" displayName="Modes" ref="D2:E5" totalsRowShown="0" headerRowDxfId="5">
  <autoFilter ref="D2:E5" xr:uid="{6C42CABE-1A67-634C-9978-063FCAC23ED8}"/>
  <sortState xmlns:xlrd2="http://schemas.microsoft.com/office/spreadsheetml/2017/richdata2" ref="D3:E5">
    <sortCondition ref="E2:E5"/>
  </sortState>
  <tableColumns count="2">
    <tableColumn id="1" xr3:uid="{6C582EF3-D4A9-1742-A49C-F1CEDF497625}" name="Label"/>
    <tableColumn id="2" xr3:uid="{EC1F6527-062B-394F-9EAE-80FF03F591BF}" name="Value" dataDxfId="4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42E4C20-9DB3-6F41-A29D-E2BF1AEAFEAE}" name="Weekdays" displayName="Weekdays" ref="G2:H11" totalsRowShown="0" headerRowDxfId="3">
  <autoFilter ref="G2:H11" xr:uid="{342E4C20-9DB3-6F41-A29D-E2BF1AEAFEAE}"/>
  <sortState xmlns:xlrd2="http://schemas.microsoft.com/office/spreadsheetml/2017/richdata2" ref="G3:H11">
    <sortCondition ref="H2:H11"/>
  </sortState>
  <tableColumns count="2">
    <tableColumn id="1" xr3:uid="{30D086D7-C86C-DB4E-BC79-B68A51D8D1F7}" name="Label"/>
    <tableColumn id="2" xr3:uid="{789CD293-F048-CA41-A2BB-862F31FA0341}" name="Value" dataDxfId="2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CAEF966-D5C8-0F48-B6A7-B04878810C70}" name="Weeks" displayName="Weeks" ref="J2:K7" totalsRowShown="0" headerRowDxfId="1">
  <autoFilter ref="J2:K7" xr:uid="{DCAEF966-D5C8-0F48-B6A7-B04878810C70}"/>
  <sortState xmlns:xlrd2="http://schemas.microsoft.com/office/spreadsheetml/2017/richdata2" ref="J3:K7">
    <sortCondition ref="K2:K7"/>
  </sortState>
  <tableColumns count="2">
    <tableColumn id="1" xr3:uid="{C0966607-4E3D-7643-919C-CF8B5DAD60B6}" name="Label"/>
    <tableColumn id="2" xr3:uid="{6AE174AC-D488-C246-A0D9-B7E742D410A2}" name="Valu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8EB4D-91B3-664E-B6BC-C3DDD8465C72}">
  <sheetPr codeName="Sheet2">
    <tabColor rgb="FFC00000"/>
  </sheetPr>
  <dimension ref="A1:W6"/>
  <sheetViews>
    <sheetView tabSelected="1" workbookViewId="0">
      <pane ySplit="2" topLeftCell="A3" activePane="bottomLeft" state="frozen"/>
      <selection pane="bottomLeft" activeCell="C3" sqref="C3"/>
    </sheetView>
  </sheetViews>
  <sheetFormatPr baseColWidth="10" defaultRowHeight="16" outlineLevelCol="2" x14ac:dyDescent="0.2"/>
  <cols>
    <col min="1" max="1" width="10.1640625" bestFit="1" customWidth="1"/>
    <col min="2" max="2" width="9.5" bestFit="1" customWidth="1"/>
    <col min="3" max="3" width="10.5" bestFit="1" customWidth="1"/>
    <col min="5" max="5" width="8.33203125" bestFit="1" customWidth="1"/>
    <col min="6" max="6" width="60" bestFit="1" customWidth="1"/>
    <col min="7" max="7" width="90.33203125" bestFit="1" customWidth="1"/>
    <col min="8" max="8" width="9.83203125" hidden="1" customWidth="1" outlineLevel="1"/>
    <col min="9" max="9" width="10.1640625" customWidth="1" collapsed="1"/>
    <col min="10" max="10" width="14.6640625" hidden="1" customWidth="1" outlineLevel="2"/>
    <col min="11" max="11" width="8.33203125" hidden="1" customWidth="1" outlineLevel="1" collapsed="1"/>
    <col min="12" max="12" width="12.83203125" hidden="1" customWidth="1" outlineLevel="2"/>
    <col min="13" max="13" width="18.83203125" hidden="1" customWidth="1" outlineLevel="1" collapsed="1"/>
    <col min="14" max="14" width="13.33203125" hidden="1" customWidth="1" outlineLevel="2"/>
    <col min="15" max="15" width="19.1640625" hidden="1" customWidth="1" outlineLevel="1" collapsed="1"/>
    <col min="16" max="16" width="13" hidden="1" customWidth="1" outlineLevel="2"/>
    <col min="17" max="17" width="9.33203125" hidden="1" customWidth="1" outlineLevel="1" collapsed="1"/>
    <col min="18" max="19" width="12.5" hidden="1" customWidth="1" outlineLevel="1"/>
    <col min="20" max="21" width="13.5" hidden="1" customWidth="1" outlineLevel="1"/>
    <col min="22" max="22" width="11.6640625" hidden="1" customWidth="1" outlineLevel="1"/>
    <col min="23" max="23" width="10.83203125" collapsed="1"/>
  </cols>
  <sheetData>
    <row r="1" spans="1:22" ht="24" x14ac:dyDescent="0.3">
      <c r="A1" s="12" t="s">
        <v>3</v>
      </c>
      <c r="B1" s="12"/>
      <c r="C1" s="12"/>
      <c r="E1" s="11" t="s">
        <v>9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22" x14ac:dyDescent="0.2">
      <c r="A2" s="2" t="s">
        <v>13</v>
      </c>
      <c r="B2" s="4" t="s">
        <v>0</v>
      </c>
      <c r="C2" s="4" t="s">
        <v>1</v>
      </c>
      <c r="E2" t="s">
        <v>51</v>
      </c>
      <c r="F2" t="s">
        <v>10</v>
      </c>
      <c r="G2" s="4" t="s">
        <v>11</v>
      </c>
      <c r="H2" s="4" t="s">
        <v>24</v>
      </c>
      <c r="I2" s="4" t="s">
        <v>13</v>
      </c>
      <c r="J2" s="3" t="s">
        <v>18</v>
      </c>
      <c r="K2" s="4" t="s">
        <v>21</v>
      </c>
      <c r="L2" s="3" t="s">
        <v>22</v>
      </c>
      <c r="M2" s="4" t="s">
        <v>26</v>
      </c>
      <c r="N2" s="3" t="s">
        <v>28</v>
      </c>
      <c r="O2" s="4" t="s">
        <v>29</v>
      </c>
      <c r="P2" s="3" t="s">
        <v>27</v>
      </c>
      <c r="Q2" s="4" t="s">
        <v>30</v>
      </c>
      <c r="R2" s="4" t="s">
        <v>31</v>
      </c>
      <c r="S2" s="4" t="s">
        <v>32</v>
      </c>
      <c r="T2" s="4" t="s">
        <v>33</v>
      </c>
      <c r="U2" s="4" t="s">
        <v>34</v>
      </c>
      <c r="V2" s="4" t="s">
        <v>35</v>
      </c>
    </row>
    <row r="3" spans="1:22" x14ac:dyDescent="0.2">
      <c r="A3" s="1" cm="1">
        <f t="array" ref="A3" xml:space="preserve"> ROW() - ROW(Input[#Headers])</f>
        <v>1</v>
      </c>
      <c r="B3" s="5" t="s">
        <v>2</v>
      </c>
      <c r="C3" s="6" t="s">
        <v>7</v>
      </c>
      <c r="E3" s="1">
        <v>1</v>
      </c>
      <c r="F3" t="str" cm="1">
        <f t="array" aca="1" ref="F3" ca="1" xml:space="preserve"> sPrinter.Message(Output[[#This Row],[Format]], Input_Values, Output[[#This Row],[Default]], Output[[#This Row],[Position Code]], Output[[#This Row],[Mode Code]])</f>
        <v>You have a meeting with John Doe at 9:33 PM on Tuesday, January 13.</v>
      </c>
      <c r="G3" s="6" t="s">
        <v>36</v>
      </c>
      <c r="H3" s="5" t="str">
        <f xml:space="preserve"> DEFAULT_VALUE</f>
        <v>?</v>
      </c>
      <c r="I3" s="6"/>
      <c r="J3" s="9">
        <f xml:space="preserve"> _xlfn.XLOOKUP(Output[[#This Row],[Position]], Position_Labels, Position_Values)</f>
        <v>0</v>
      </c>
      <c r="K3" s="6"/>
      <c r="L3" s="9">
        <f xml:space="preserve"> _xlfn.XLOOKUP(Output[[#This Row],[Mode]], Mode_Labels, Mode_Values)</f>
        <v>0</v>
      </c>
      <c r="M3" s="6"/>
      <c r="N3" s="1">
        <f xml:space="preserve"> _xlfn.XLOOKUP(Output[[#This Row],[First Day of Week]], Weekday_Labels, Weekday_Values)</f>
        <v>1</v>
      </c>
      <c r="O3" s="6"/>
      <c r="P3" s="1">
        <f xml:space="preserve"> _xlfn.XLOOKUP(Output[[#This Row],[First Week of Year]], Week_Labels, Week_Values)</f>
        <v>1</v>
      </c>
      <c r="Q3" s="10"/>
      <c r="R3" s="10"/>
      <c r="S3" s="10"/>
      <c r="T3" s="10"/>
      <c r="U3" s="10"/>
      <c r="V3" s="10"/>
    </row>
    <row r="4" spans="1:22" x14ac:dyDescent="0.2">
      <c r="A4" s="1" cm="1">
        <f t="array" ref="A4" xml:space="preserve"> ROW() - ROW(Input[#Headers])</f>
        <v>2</v>
      </c>
      <c r="B4" s="5" t="s">
        <v>4</v>
      </c>
      <c r="C4" s="6" t="s">
        <v>8</v>
      </c>
      <c r="E4" s="1">
        <v>2</v>
      </c>
      <c r="F4" t="str" cm="1">
        <f t="array" aca="1" ref="F4" ca="1" xml:space="preserve"> sPrinter.Message(Output[[#This Row],[Format]], Input_Values, Output[[#This Row],[Default]], Output[[#This Row],[Position Code]], Output[[#This Row],[Mode Code]])</f>
        <v>You have a meeting with John Doe at 9:33 PM on Tuesday, January 13.</v>
      </c>
      <c r="G4" s="6" t="s">
        <v>25</v>
      </c>
      <c r="H4" s="5" t="str">
        <f xml:space="preserve"> DEFAULT_VALUE</f>
        <v>?</v>
      </c>
      <c r="I4" s="6" t="s">
        <v>17</v>
      </c>
      <c r="J4" s="9">
        <f xml:space="preserve"> _xlfn.XLOOKUP(Output[[#This Row],[Position]], Position_Labels, Position_Values)</f>
        <v>2</v>
      </c>
      <c r="K4" s="6"/>
      <c r="L4" s="9">
        <f xml:space="preserve"> _xlfn.XLOOKUP(Output[[#This Row],[Mode]], Mode_Labels, Mode_Values)</f>
        <v>0</v>
      </c>
      <c r="M4" s="6"/>
      <c r="N4" s="1">
        <f xml:space="preserve"> _xlfn.XLOOKUP(Output[[#This Row],[First Day of Week]], Weekday_Labels, Weekday_Values)</f>
        <v>1</v>
      </c>
      <c r="O4" s="6"/>
      <c r="P4" s="1">
        <f xml:space="preserve"> _xlfn.XLOOKUP(Output[[#This Row],[First Week of Year]], Week_Labels, Week_Values)</f>
        <v>1</v>
      </c>
      <c r="Q4" s="10"/>
      <c r="R4" s="10"/>
      <c r="S4" s="10"/>
      <c r="T4" s="10"/>
      <c r="U4" s="10"/>
      <c r="V4" s="10"/>
    </row>
    <row r="5" spans="1:22" x14ac:dyDescent="0.2">
      <c r="A5" s="1" cm="1">
        <f t="array" ref="A5" xml:space="preserve"> ROW() - ROW(Input[#Headers])</f>
        <v>3</v>
      </c>
      <c r="B5" s="5" t="s">
        <v>5</v>
      </c>
      <c r="C5" s="7">
        <f ca="1" xml:space="preserve"> NOW() - TODAY()</f>
        <v>0.89850740740803303</v>
      </c>
      <c r="E5" s="1">
        <v>3</v>
      </c>
      <c r="F5" t="str" cm="1">
        <f t="array" aca="1" ref="F5" ca="1" xml:space="preserve"> sPrinter.Message(Output[[#This Row],[Format]], Input_Values, Output[[#This Row],[Default]], Output[[#This Row],[Position Code]], Output[[#This Row],[Mode Code]])</f>
        <v>You have a meeting with John Doe at 9:33 PM on Tuesday, January 13.</v>
      </c>
      <c r="G5" s="6" t="s">
        <v>52</v>
      </c>
      <c r="H5" s="5" t="str">
        <f xml:space="preserve"> DEFAULT_VALUE</f>
        <v>?</v>
      </c>
      <c r="I5" s="6"/>
      <c r="J5" s="9">
        <f xml:space="preserve"> _xlfn.XLOOKUP(Output[[#This Row],[Position]], Position_Labels, Position_Values)</f>
        <v>0</v>
      </c>
      <c r="K5" s="6"/>
      <c r="L5" s="9">
        <f xml:space="preserve"> _xlfn.XLOOKUP(Output[[#This Row],[Mode]], Mode_Labels, Mode_Values)</f>
        <v>0</v>
      </c>
      <c r="M5" s="6"/>
      <c r="N5" s="1">
        <f xml:space="preserve"> _xlfn.XLOOKUP(Output[[#This Row],[First Day of Week]], Weekday_Labels, Weekday_Values)</f>
        <v>1</v>
      </c>
      <c r="O5" s="6"/>
      <c r="P5" s="1">
        <f xml:space="preserve"> _xlfn.XLOOKUP(Output[[#This Row],[First Week of Year]], Week_Labels, Week_Values)</f>
        <v>1</v>
      </c>
      <c r="Q5" s="10"/>
      <c r="R5" s="10"/>
      <c r="S5" s="10"/>
      <c r="T5" s="10"/>
      <c r="U5" s="10"/>
      <c r="V5" s="10"/>
    </row>
    <row r="6" spans="1:22" x14ac:dyDescent="0.2">
      <c r="A6" s="1" cm="1">
        <f t="array" ref="A6" xml:space="preserve"> ROW() - ROW(Input[#Headers])</f>
        <v>4</v>
      </c>
      <c r="B6" s="5" t="s">
        <v>6</v>
      </c>
      <c r="C6" s="8">
        <f ca="1" xml:space="preserve"> TODAY()</f>
        <v>46035</v>
      </c>
      <c r="E6" s="1">
        <v>4</v>
      </c>
      <c r="F6" t="str" cm="1">
        <f t="array" ref="F6" xml:space="preserve"> sPrinter.Message(Output[[#This Row],[Format]], Input_Values, Output[[#This Row],[Default]], Output[[#This Row],[Position Code]], Output[[#This Row],[Mode Code]])</f>
        <v>You have a meeting with ? ? at ? on ?.</v>
      </c>
      <c r="G6" s="6" t="s">
        <v>12</v>
      </c>
      <c r="H6" s="5" t="str">
        <f xml:space="preserve"> DEFAULT_VALUE</f>
        <v>?</v>
      </c>
      <c r="I6" s="6"/>
      <c r="J6" s="9">
        <f xml:space="preserve"> _xlfn.XLOOKUP(Output[[#This Row],[Position]], Position_Labels, Position_Values)</f>
        <v>0</v>
      </c>
      <c r="K6" s="6"/>
      <c r="L6" s="9">
        <f xml:space="preserve"> _xlfn.XLOOKUP(Output[[#This Row],[Mode]], Mode_Labels, Mode_Values)</f>
        <v>0</v>
      </c>
      <c r="M6" s="6"/>
      <c r="N6" s="1">
        <f xml:space="preserve"> _xlfn.XLOOKUP(Output[[#This Row],[First Day of Week]], Weekday_Labels, Weekday_Values)</f>
        <v>1</v>
      </c>
      <c r="O6" s="6"/>
      <c r="P6" s="1">
        <f xml:space="preserve"> _xlfn.XLOOKUP(Output[[#This Row],[First Week of Year]], Week_Labels, Week_Values)</f>
        <v>1</v>
      </c>
      <c r="Q6" s="10"/>
      <c r="R6" s="10"/>
      <c r="S6" s="10"/>
      <c r="T6" s="10"/>
      <c r="U6" s="10"/>
      <c r="V6" s="10"/>
    </row>
  </sheetData>
  <mergeCells count="2">
    <mergeCell ref="E1:V1"/>
    <mergeCell ref="A1:C1"/>
  </mergeCells>
  <dataValidations count="4">
    <dataValidation type="list" allowBlank="1" showInputMessage="1" showErrorMessage="1" sqref="O3:O6" xr:uid="{F92D5DA6-E9F7-5241-B68B-2575E50D175E}">
      <formula1 xml:space="preserve"> Week_Labels</formula1>
    </dataValidation>
    <dataValidation type="list" allowBlank="1" showInputMessage="1" showErrorMessage="1" sqref="M3:M6" xr:uid="{7080170B-F75E-7E49-96E9-48ECBD79D9F2}">
      <formula1 xml:space="preserve"> Weekday_Labels</formula1>
    </dataValidation>
    <dataValidation type="list" allowBlank="1" showInputMessage="1" showErrorMessage="1" sqref="K3:K6" xr:uid="{55E699E5-5AA3-A445-811A-C9CF484EE8AF}">
      <formula1 xml:space="preserve"> Mode_Labels</formula1>
    </dataValidation>
    <dataValidation type="list" allowBlank="1" showInputMessage="1" showErrorMessage="1" sqref="I3:I6" xr:uid="{A6F57EE5-A1B8-344E-8E4E-ED95DC0A85D2}">
      <formula1 xml:space="preserve"> Position_Labels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AA6B5-E31C-5D48-9C9C-870DAC817676}">
  <sheetPr codeName="Sheet1">
    <tabColor theme="1"/>
  </sheetPr>
  <dimension ref="A1:K11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8.33203125" customWidth="1"/>
    <col min="2" max="2" width="8.33203125" bestFit="1" customWidth="1"/>
    <col min="3" max="3" width="10.83203125" customWidth="1"/>
    <col min="4" max="4" width="8" customWidth="1"/>
    <col min="5" max="5" width="8.33203125" bestFit="1" customWidth="1"/>
    <col min="7" max="7" width="10.6640625" bestFit="1" customWidth="1"/>
    <col min="8" max="8" width="8.33203125" bestFit="1" customWidth="1"/>
    <col min="10" max="10" width="12.5" bestFit="1" customWidth="1"/>
    <col min="11" max="11" width="8.33203125" bestFit="1" customWidth="1"/>
  </cols>
  <sheetData>
    <row r="1" spans="1:11" ht="24" x14ac:dyDescent="0.3">
      <c r="A1" s="12" t="s">
        <v>15</v>
      </c>
      <c r="B1" s="12"/>
      <c r="D1" s="12" t="s">
        <v>23</v>
      </c>
      <c r="E1" s="12"/>
      <c r="G1" s="12" t="s">
        <v>37</v>
      </c>
      <c r="H1" s="12"/>
      <c r="J1" s="12" t="s">
        <v>38</v>
      </c>
      <c r="K1" s="12"/>
    </row>
    <row r="2" spans="1:11" x14ac:dyDescent="0.2">
      <c r="A2" s="2" t="s">
        <v>14</v>
      </c>
      <c r="B2" s="2" t="s">
        <v>1</v>
      </c>
      <c r="D2" s="2" t="s">
        <v>14</v>
      </c>
      <c r="E2" s="2" t="s">
        <v>1</v>
      </c>
      <c r="G2" s="2" t="s">
        <v>14</v>
      </c>
      <c r="H2" s="2" t="s">
        <v>1</v>
      </c>
      <c r="J2" s="2" t="s">
        <v>14</v>
      </c>
      <c r="K2" s="2" t="s">
        <v>1</v>
      </c>
    </row>
    <row r="3" spans="1:11" x14ac:dyDescent="0.2">
      <c r="B3" s="1">
        <v>0</v>
      </c>
      <c r="E3" s="1">
        <v>0</v>
      </c>
      <c r="H3" s="1">
        <v>1</v>
      </c>
      <c r="K3" s="1">
        <v>1</v>
      </c>
    </row>
    <row r="4" spans="1:11" x14ac:dyDescent="0.2">
      <c r="A4" t="s">
        <v>16</v>
      </c>
      <c r="B4" s="1">
        <v>1</v>
      </c>
      <c r="D4" t="s">
        <v>19</v>
      </c>
      <c r="E4" s="1">
        <v>1</v>
      </c>
      <c r="G4" t="s">
        <v>39</v>
      </c>
      <c r="H4" s="1">
        <v>0</v>
      </c>
      <c r="J4" t="s">
        <v>47</v>
      </c>
      <c r="K4" s="1">
        <v>0</v>
      </c>
    </row>
    <row r="5" spans="1:11" x14ac:dyDescent="0.2">
      <c r="A5" t="s">
        <v>17</v>
      </c>
      <c r="B5" s="1">
        <v>2</v>
      </c>
      <c r="D5" t="s">
        <v>20</v>
      </c>
      <c r="E5" s="1">
        <v>2</v>
      </c>
      <c r="G5" t="s">
        <v>46</v>
      </c>
      <c r="H5" s="1">
        <v>1</v>
      </c>
      <c r="J5" t="s">
        <v>48</v>
      </c>
      <c r="K5" s="1">
        <v>1</v>
      </c>
    </row>
    <row r="6" spans="1:11" x14ac:dyDescent="0.2">
      <c r="G6" t="s">
        <v>40</v>
      </c>
      <c r="H6" s="1">
        <v>2</v>
      </c>
      <c r="J6" t="s">
        <v>49</v>
      </c>
      <c r="K6" s="1">
        <v>2</v>
      </c>
    </row>
    <row r="7" spans="1:11" x14ac:dyDescent="0.2">
      <c r="G7" t="s">
        <v>41</v>
      </c>
      <c r="H7" s="1">
        <v>3</v>
      </c>
      <c r="J7" t="s">
        <v>50</v>
      </c>
      <c r="K7" s="1">
        <v>3</v>
      </c>
    </row>
    <row r="8" spans="1:11" x14ac:dyDescent="0.2">
      <c r="G8" t="s">
        <v>42</v>
      </c>
      <c r="H8" s="1">
        <v>4</v>
      </c>
    </row>
    <row r="9" spans="1:11" x14ac:dyDescent="0.2">
      <c r="G9" t="s">
        <v>43</v>
      </c>
      <c r="H9" s="1">
        <v>5</v>
      </c>
    </row>
    <row r="10" spans="1:11" x14ac:dyDescent="0.2">
      <c r="G10" t="s">
        <v>44</v>
      </c>
      <c r="H10" s="1">
        <v>6</v>
      </c>
    </row>
    <row r="11" spans="1:11" x14ac:dyDescent="0.2">
      <c r="G11" t="s">
        <v>45</v>
      </c>
      <c r="H11" s="1">
        <v>7</v>
      </c>
    </row>
  </sheetData>
  <mergeCells count="4">
    <mergeCell ref="G1:H1"/>
    <mergeCell ref="J1:K1"/>
    <mergeCell ref="A1:B1"/>
    <mergeCell ref="D1:E1"/>
  </mergeCells>
  <phoneticPr fontId="3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Message</vt:lpstr>
      <vt:lpstr>Settings</vt:lpstr>
      <vt:lpstr>Message!Input_Names</vt:lpstr>
      <vt:lpstr>Message!Input_Values</vt:lpstr>
      <vt:lpstr>Mode_Labels</vt:lpstr>
      <vt:lpstr>Mode_Values</vt:lpstr>
      <vt:lpstr>Position_Labels</vt:lpstr>
      <vt:lpstr>Position_Values</vt:lpstr>
      <vt:lpstr>Week_Labels</vt:lpstr>
      <vt:lpstr>Week_Values</vt:lpstr>
      <vt:lpstr>Weekday_Labels</vt:lpstr>
      <vt:lpstr>Weekday_Values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2025-11-04T01:49:55Z</dcterms:created>
  <dcterms:modified xsi:type="dcterms:W3CDTF">2026-01-14T02:34:44Z</dcterms:modified>
</cp:coreProperties>
</file>